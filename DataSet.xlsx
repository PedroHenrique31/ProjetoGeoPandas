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<sst xmlns="http://schemas.openxmlformats.org/spreadsheetml/2006/main" count="81" uniqueCount="81">
  <si>
    <t xml:space="preserve"> Renda domiciliar média segundo as Regiões Administrativas</t>
  </si>
  <si>
    <t xml:space="preserve">REGIÕES ADMINISTRATIVAS</t>
  </si>
  <si>
    <t xml:space="preserve">RENDA DOMICILIAR MÉDIA MENSAL </t>
  </si>
  <si>
    <t xml:space="preserve">Dados sociais da PDAD</t>
  </si>
  <si>
    <t xml:space="preserve">NÚMEROS DAS RAs</t>
  </si>
  <si>
    <t>DESCRIÇÃO</t>
  </si>
  <si>
    <t xml:space="preserve">Valores Absolutos (RS 1,00)</t>
  </si>
  <si>
    <t xml:space="preserve">Valores em salários mínimos </t>
  </si>
  <si>
    <t xml:space="preserve">índice de Gini</t>
  </si>
  <si>
    <t>numero_filhos</t>
  </si>
  <si>
    <t>RA-I</t>
  </si>
  <si>
    <t xml:space="preserve">Plano Piloto</t>
  </si>
  <si>
    <t>RA-II</t>
  </si>
  <si>
    <t>Gama</t>
  </si>
  <si>
    <t>RA-III</t>
  </si>
  <si>
    <t>Taguatinga</t>
  </si>
  <si>
    <t>RA-IV</t>
  </si>
  <si>
    <t>Brazlândia</t>
  </si>
  <si>
    <t>RA-IX</t>
  </si>
  <si>
    <t>Ceilândia</t>
  </si>
  <si>
    <t>RA-V</t>
  </si>
  <si>
    <t>Sobradinho</t>
  </si>
  <si>
    <t>RA-VI</t>
  </si>
  <si>
    <t>Planaltina</t>
  </si>
  <si>
    <t>RA-VII</t>
  </si>
  <si>
    <t>Paranoá</t>
  </si>
  <si>
    <t>RA-VIII</t>
  </si>
  <si>
    <t xml:space="preserve">Núcleo Bandeirante</t>
  </si>
  <si>
    <t>RA-X</t>
  </si>
  <si>
    <t>Guará</t>
  </si>
  <si>
    <t>RA-XI</t>
  </si>
  <si>
    <t>Cruzeiro</t>
  </si>
  <si>
    <t>RA-XII</t>
  </si>
  <si>
    <t>Samambaia</t>
  </si>
  <si>
    <t>RA-XIII</t>
  </si>
  <si>
    <t xml:space="preserve">Santa Maria</t>
  </si>
  <si>
    <t>RA-XIV</t>
  </si>
  <si>
    <t xml:space="preserve">São Sebastião</t>
  </si>
  <si>
    <t>RA-XIX</t>
  </si>
  <si>
    <t>Candangolândia</t>
  </si>
  <si>
    <t>RA-XV</t>
  </si>
  <si>
    <t xml:space="preserve">Recanto das Emas</t>
  </si>
  <si>
    <t>RA-XVI</t>
  </si>
  <si>
    <t xml:space="preserve">Lago Sul</t>
  </si>
  <si>
    <t>RA-XVII</t>
  </si>
  <si>
    <t xml:space="preserve">Riacho Fundo</t>
  </si>
  <si>
    <t>RA-XVIII</t>
  </si>
  <si>
    <t xml:space="preserve">Lago Norte</t>
  </si>
  <si>
    <t>RA-XX</t>
  </si>
  <si>
    <t xml:space="preserve">Águas Claras</t>
  </si>
  <si>
    <t>RA-XXI</t>
  </si>
  <si>
    <t xml:space="preserve">Riacho Fundo II</t>
  </si>
  <si>
    <t>RA-XXII</t>
  </si>
  <si>
    <t>Sudoeste/Octogonal</t>
  </si>
  <si>
    <t>*</t>
  </si>
  <si>
    <t>RA-XXIII</t>
  </si>
  <si>
    <t>Varjão</t>
  </si>
  <si>
    <t>RA-XXIV</t>
  </si>
  <si>
    <t xml:space="preserve">Park Way</t>
  </si>
  <si>
    <t>RA-XXIX</t>
  </si>
  <si>
    <r>
      <t>SIA</t>
    </r>
    <r>
      <rPr>
        <vertAlign val="superscript"/>
        <sz val="8"/>
        <rFont val="Arial"/>
      </rPr>
      <t>(2)</t>
    </r>
  </si>
  <si>
    <t>RA-XXV</t>
  </si>
  <si>
    <r>
      <t>SCIA</t>
    </r>
    <r>
      <rPr>
        <vertAlign val="superscript"/>
        <sz val="8"/>
        <rFont val="Arial"/>
      </rPr>
      <t>(1)</t>
    </r>
  </si>
  <si>
    <t>RA-XXVI</t>
  </si>
  <si>
    <t xml:space="preserve">Sobradinho II</t>
  </si>
  <si>
    <t>RA-XXVII</t>
  </si>
  <si>
    <t xml:space="preserve">Jardim Botânico</t>
  </si>
  <si>
    <t>RA-XXVIII</t>
  </si>
  <si>
    <t>Itapoã</t>
  </si>
  <si>
    <t>RA-XXX</t>
  </si>
  <si>
    <t xml:space="preserve">Vicente Pires</t>
  </si>
  <si>
    <t>RA-XXXI</t>
  </si>
  <si>
    <t>Fercal</t>
  </si>
  <si>
    <t>RA-XXXII</t>
  </si>
  <si>
    <t xml:space="preserve">Sol Nascente/Por do Sol</t>
  </si>
  <si>
    <t>RA-XXXIII</t>
  </si>
  <si>
    <t>Arniqueira</t>
  </si>
  <si>
    <t>RA-XXXIV</t>
  </si>
  <si>
    <t>Arapoanga*</t>
  </si>
  <si>
    <t>RA-XXXV</t>
  </si>
  <si>
    <t xml:space="preserve">Água Quente*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</si>
</sst>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8.000000"/>
      <color theme="1"/>
      <name val="Arial"/>
    </font>
    <font>
      <sz val="8.000000"/>
      <name val="Arial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0" fillId="0" borderId="0" numFmtId="0" xfId="0" applyAlignment="1">
      <alignment horizontal="center"/>
    </xf>
    <xf fontId="1" fillId="0" borderId="1" numFmtId="0" xfId="0" applyFont="1" applyBorder="1" applyAlignment="1">
      <alignment vertical="center"/>
    </xf>
    <xf fontId="2" fillId="0" borderId="0" numFmtId="0" xfId="0" applyFont="1" applyAlignment="1">
      <alignment vertical="center" wrapText="1"/>
    </xf>
    <xf fontId="2" fillId="0" borderId="2" numFmtId="4" xfId="0" applyNumberFormat="1" applyFont="1" applyBorder="1" applyAlignment="1">
      <alignment horizontal="right" vertical="center"/>
    </xf>
    <xf fontId="2" fillId="0" borderId="3" numFmtId="2" xfId="0" applyNumberFormat="1" applyFont="1" applyBorder="1" applyAlignment="1">
      <alignment horizontal="right" vertical="center"/>
    </xf>
    <xf fontId="2" fillId="0" borderId="0" numFmtId="2" xfId="0" applyNumberFormat="1" applyFont="1" applyAlignment="1">
      <alignment horizontal="right" vertical="center"/>
    </xf>
    <xf fontId="1" fillId="0" borderId="0" numFmtId="0" xfId="0" applyFont="1" applyAlignment="1">
      <alignment vertical="center"/>
    </xf>
    <xf fontId="2" fillId="0" borderId="4" numFmtId="0" xfId="0" applyFont="1" applyBorder="1" applyAlignment="1">
      <alignment vertical="center" wrapText="1"/>
    </xf>
    <xf fontId="2" fillId="0" borderId="1" numFmtId="0" xfId="0" applyFont="1" applyBorder="1" applyAlignment="1">
      <alignment vertical="center"/>
    </xf>
    <xf fontId="2" fillId="0" borderId="3" numFmtId="4" xfId="0" applyNumberFormat="1" applyFont="1" applyBorder="1" applyAlignment="1">
      <alignment horizontal="right" vertical="center"/>
    </xf>
    <xf fontId="2" fillId="0" borderId="2" numFmtId="2" xfId="0" applyNumberFormat="1" applyFont="1" applyBorder="1" applyAlignment="1">
      <alignment horizontal="right" vertical="center"/>
    </xf>
    <xf fontId="2" fillId="0" borderId="0" numFmt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8515625"/>
    <col customWidth="1" min="2" max="2" width="19.57421875"/>
    <col customWidth="1" min="3" max="3" width="24.8515625"/>
  </cols>
  <sheetData>
    <row r="1" ht="14.25">
      <c r="A1" s="1" t="s">
        <v>0</v>
      </c>
      <c r="B1" s="1"/>
      <c r="C1" s="1"/>
      <c r="D1" s="1"/>
      <c r="E1" s="1"/>
      <c r="F1" s="1"/>
    </row>
    <row r="2" ht="14.25">
      <c r="A2" s="1" t="s">
        <v>1</v>
      </c>
      <c r="B2" s="1"/>
      <c r="C2" s="1" t="s">
        <v>2</v>
      </c>
      <c r="D2" s="1"/>
      <c r="E2" s="1"/>
      <c r="F2" s="1"/>
      <c r="G2" t="s">
        <v>3</v>
      </c>
    </row>
    <row r="3" ht="14.25">
      <c r="A3" t="s">
        <v>4</v>
      </c>
      <c r="B3" t="s">
        <v>5</v>
      </c>
      <c r="C3" t="s">
        <v>6</v>
      </c>
      <c r="D3" t="s">
        <v>7</v>
      </c>
      <c r="E3" t="s">
        <v>8</v>
      </c>
      <c r="G3" t="s">
        <v>9</v>
      </c>
    </row>
    <row r="4" ht="14.25">
      <c r="A4" s="2" t="s">
        <v>10</v>
      </c>
      <c r="B4" s="3" t="s">
        <v>11</v>
      </c>
      <c r="C4" s="4">
        <v>16815.024596510499</v>
      </c>
      <c r="D4" s="5">
        <f t="shared" ref="D4:D9" si="0">C4/1412</f>
        <v>11.908657646253895</v>
      </c>
      <c r="E4" s="6">
        <v>0.47096491373788218</v>
      </c>
    </row>
    <row r="5" ht="14.25">
      <c r="A5" s="7" t="s">
        <v>12</v>
      </c>
      <c r="B5" s="8" t="s">
        <v>13</v>
      </c>
      <c r="C5" s="4">
        <v>3622.426391801002</v>
      </c>
      <c r="D5" s="5">
        <f t="shared" si="0"/>
        <v>2.565457784561616</v>
      </c>
      <c r="E5" s="6">
        <v>0.47645211719221381</v>
      </c>
    </row>
    <row r="6" ht="14.25">
      <c r="A6" s="2" t="s">
        <v>14</v>
      </c>
      <c r="B6" s="3" t="s">
        <v>15</v>
      </c>
      <c r="C6" s="4">
        <v>4427.8330374766201</v>
      </c>
      <c r="D6" s="5">
        <f t="shared" si="0"/>
        <v>3.135859091697323</v>
      </c>
      <c r="E6" s="6">
        <v>0.47263356978752552</v>
      </c>
    </row>
    <row r="7" ht="14.25">
      <c r="A7" s="7" t="s">
        <v>16</v>
      </c>
      <c r="B7" s="8" t="s">
        <v>17</v>
      </c>
      <c r="C7" s="4">
        <v>2818.0016473321211</v>
      </c>
      <c r="D7" s="5">
        <f t="shared" si="0"/>
        <v>1.9957518748811056</v>
      </c>
      <c r="E7" s="6">
        <v>0.38786856067294001</v>
      </c>
    </row>
    <row r="8" ht="14.25">
      <c r="A8" s="2" t="s">
        <v>18</v>
      </c>
      <c r="B8" s="3" t="s">
        <v>19</v>
      </c>
      <c r="C8" s="4">
        <v>3235.8186402460442</v>
      </c>
      <c r="D8" s="5">
        <f t="shared" si="0"/>
        <v>2.2916562607974815</v>
      </c>
      <c r="E8" s="6">
        <v>0.43313071762531652</v>
      </c>
    </row>
    <row r="9" ht="14.25">
      <c r="A9" s="2" t="s">
        <v>20</v>
      </c>
      <c r="B9" s="3" t="s">
        <v>21</v>
      </c>
      <c r="C9" s="4">
        <v>6753.7539299506034</v>
      </c>
      <c r="D9" s="5">
        <f t="shared" si="0"/>
        <v>4.7831118484069428</v>
      </c>
      <c r="E9" s="6">
        <v>0.51568474842557377</v>
      </c>
    </row>
    <row r="10" ht="14.25">
      <c r="A10" s="2" t="s">
        <v>22</v>
      </c>
      <c r="B10" s="3" t="s">
        <v>23</v>
      </c>
      <c r="C10" s="4">
        <v>1865.646921998992</v>
      </c>
      <c r="D10" s="5">
        <f t="shared" ref="D10:D38" si="1">C10/1412</f>
        <v>1.3212796898009858</v>
      </c>
      <c r="E10" s="6">
        <v>0.43200270530158219</v>
      </c>
    </row>
    <row r="11" ht="14.25">
      <c r="A11" s="2" t="s">
        <v>24</v>
      </c>
      <c r="B11" s="3" t="s">
        <v>25</v>
      </c>
      <c r="C11" s="4">
        <v>1941.6892168606059</v>
      </c>
      <c r="D11" s="5">
        <f t="shared" si="1"/>
        <v>1.3751340062752166</v>
      </c>
      <c r="E11" s="6">
        <v>0.30917041069542489</v>
      </c>
    </row>
    <row r="12" ht="14.25">
      <c r="A12" s="2" t="s">
        <v>26</v>
      </c>
      <c r="B12" s="3" t="s">
        <v>27</v>
      </c>
      <c r="C12" s="4">
        <v>4759.7505705556441</v>
      </c>
      <c r="D12" s="5">
        <f t="shared" si="1"/>
        <v>3.3709281661158954</v>
      </c>
      <c r="E12" s="6">
        <v>0.466705947320456</v>
      </c>
    </row>
    <row r="13" ht="14.25">
      <c r="A13" s="2" t="s">
        <v>28</v>
      </c>
      <c r="B13" s="3" t="s">
        <v>29</v>
      </c>
      <c r="C13" s="4">
        <v>7420.5515323858008</v>
      </c>
      <c r="D13" s="5">
        <f t="shared" si="1"/>
        <v>5.2553481107548166</v>
      </c>
      <c r="E13" s="6">
        <v>0.52374106480233573</v>
      </c>
    </row>
    <row r="14" ht="14.25">
      <c r="A14" s="2" t="s">
        <v>30</v>
      </c>
      <c r="B14" s="3" t="s">
        <v>31</v>
      </c>
      <c r="C14" s="4">
        <v>7778.5550802420421</v>
      </c>
      <c r="D14" s="5">
        <f t="shared" si="1"/>
        <v>5.5088916998881317</v>
      </c>
      <c r="E14" s="6">
        <v>0.42467997782893319</v>
      </c>
    </row>
    <row r="15" ht="14.25">
      <c r="A15" s="2" t="s">
        <v>32</v>
      </c>
      <c r="B15" s="3" t="s">
        <v>33</v>
      </c>
      <c r="C15" s="4">
        <v>2461.3492120611381</v>
      </c>
      <c r="D15" s="5">
        <f t="shared" si="1"/>
        <v>1.7431651643492481</v>
      </c>
      <c r="E15" s="6">
        <v>0.44441438763700769</v>
      </c>
    </row>
    <row r="16" ht="14.25">
      <c r="A16" s="2" t="s">
        <v>34</v>
      </c>
      <c r="B16" s="3" t="s">
        <v>35</v>
      </c>
      <c r="C16" s="4">
        <v>2599.8306877184009</v>
      </c>
      <c r="D16" s="5">
        <f t="shared" si="1"/>
        <v>1.8412398638232301</v>
      </c>
      <c r="E16" s="6">
        <v>0.39690210654746849</v>
      </c>
    </row>
    <row r="17" ht="14.25">
      <c r="A17" s="2" t="s">
        <v>36</v>
      </c>
      <c r="B17" s="3" t="s">
        <v>37</v>
      </c>
      <c r="C17" s="4">
        <v>2611.3859221663802</v>
      </c>
      <c r="D17" s="5">
        <f t="shared" si="1"/>
        <v>1.8494234576249151</v>
      </c>
      <c r="E17" s="6">
        <v>0.34477286956471098</v>
      </c>
    </row>
    <row r="18" ht="14.25">
      <c r="A18" s="9" t="s">
        <v>38</v>
      </c>
      <c r="B18" s="3" t="s">
        <v>39</v>
      </c>
      <c r="C18" s="4">
        <v>5799.6690526892216</v>
      </c>
      <c r="D18" s="5">
        <f t="shared" si="1"/>
        <v>4.1074143432643213</v>
      </c>
      <c r="E18" s="6">
        <v>0.41261517525149699</v>
      </c>
    </row>
    <row r="19" ht="14.25">
      <c r="A19" s="2" t="s">
        <v>40</v>
      </c>
      <c r="B19" s="3" t="s">
        <v>41</v>
      </c>
      <c r="C19" s="4">
        <v>2072.9608376252941</v>
      </c>
      <c r="D19" s="5">
        <f t="shared" si="1"/>
        <v>1.4681025762218796</v>
      </c>
      <c r="E19" s="6">
        <v>0.37336737465042158</v>
      </c>
    </row>
    <row r="20" ht="14.25">
      <c r="A20" s="9" t="s">
        <v>42</v>
      </c>
      <c r="B20" s="3" t="s">
        <v>43</v>
      </c>
      <c r="C20" s="4">
        <v>29802.039935832239</v>
      </c>
      <c r="D20" s="5">
        <f t="shared" si="1"/>
        <v>21.106260577784873</v>
      </c>
      <c r="E20" s="6">
        <v>0.50958931005610464</v>
      </c>
    </row>
    <row r="21" ht="14.25">
      <c r="A21" s="9" t="s">
        <v>44</v>
      </c>
      <c r="B21" s="3" t="s">
        <v>45</v>
      </c>
      <c r="C21" s="4">
        <v>4991.4103792305414</v>
      </c>
      <c r="D21" s="5">
        <f t="shared" si="1"/>
        <v>3.5349931864238964</v>
      </c>
      <c r="E21" s="6">
        <v>0.4358354179712689</v>
      </c>
    </row>
    <row r="22" ht="14.25">
      <c r="A22" s="9" t="s">
        <v>46</v>
      </c>
      <c r="B22" s="3" t="s">
        <v>47</v>
      </c>
      <c r="C22" s="4">
        <v>18551.696602468739</v>
      </c>
      <c r="D22" s="10">
        <f t="shared" si="1"/>
        <v>13.138595327527435</v>
      </c>
      <c r="E22" s="6">
        <v>0.47779473402238798</v>
      </c>
    </row>
    <row r="23" ht="14.25">
      <c r="A23" s="9" t="s">
        <v>48</v>
      </c>
      <c r="B23" s="3" t="s">
        <v>49</v>
      </c>
      <c r="C23" s="4">
        <v>11642.13205852072</v>
      </c>
      <c r="D23" s="5">
        <f t="shared" si="1"/>
        <v>8.2451360187823788</v>
      </c>
      <c r="E23" s="6">
        <v>0.43194164431508758</v>
      </c>
    </row>
    <row r="24" ht="14.25">
      <c r="A24" s="9" t="s">
        <v>50</v>
      </c>
      <c r="B24" s="3" t="s">
        <v>51</v>
      </c>
      <c r="C24" s="4">
        <v>2340.7175809346859</v>
      </c>
      <c r="D24" s="5">
        <f t="shared" si="1"/>
        <v>1.6577319978290976</v>
      </c>
      <c r="E24" s="6">
        <v>0.33914867581544672</v>
      </c>
    </row>
    <row r="25" ht="14.25">
      <c r="A25" s="9" t="s">
        <v>52</v>
      </c>
      <c r="B25" s="3" t="s">
        <v>53</v>
      </c>
      <c r="C25" s="11" t="s">
        <v>54</v>
      </c>
      <c r="D25" s="5" t="s">
        <v>54</v>
      </c>
      <c r="E25" s="6">
        <v>0.38618710842568071</v>
      </c>
    </row>
    <row r="26" ht="14.25">
      <c r="A26" s="9" t="s">
        <v>55</v>
      </c>
      <c r="B26" s="3" t="s">
        <v>56</v>
      </c>
      <c r="C26" s="4">
        <v>2004.264549189415</v>
      </c>
      <c r="D26" s="5">
        <f t="shared" si="1"/>
        <v>1.4194508138735233</v>
      </c>
      <c r="E26" s="6">
        <v>0.27583471405708648</v>
      </c>
    </row>
    <row r="27" ht="14.25">
      <c r="A27" s="9" t="s">
        <v>57</v>
      </c>
      <c r="B27" s="3" t="s">
        <v>58</v>
      </c>
      <c r="C27" s="4">
        <v>16323.46702741921</v>
      </c>
      <c r="D27" s="5">
        <f t="shared" si="1"/>
        <v>11.560529056245899</v>
      </c>
      <c r="E27" s="6">
        <v>0.49685363657190501</v>
      </c>
    </row>
    <row r="28" ht="14.25">
      <c r="A28" s="9" t="s">
        <v>59</v>
      </c>
      <c r="B28" s="3" t="s">
        <v>60</v>
      </c>
      <c r="C28" s="4">
        <v>1998.299963745842</v>
      </c>
      <c r="D28" s="5">
        <f t="shared" si="1"/>
        <v>1.4152266032194347</v>
      </c>
      <c r="E28" s="6">
        <v>0.4184433703101198</v>
      </c>
    </row>
    <row r="29" ht="14.25">
      <c r="A29" s="9" t="s">
        <v>61</v>
      </c>
      <c r="B29" s="3" t="s">
        <v>62</v>
      </c>
      <c r="C29" s="4">
        <v>1550.9263406217469</v>
      </c>
      <c r="D29" s="5">
        <f t="shared" si="1"/>
        <v>1.0983897596471295</v>
      </c>
      <c r="E29" s="6">
        <v>0.3509179158633613</v>
      </c>
    </row>
    <row r="30" ht="14.25">
      <c r="A30" s="9" t="s">
        <v>63</v>
      </c>
      <c r="B30" s="3" t="s">
        <v>64</v>
      </c>
      <c r="C30" s="4">
        <v>4918.679640598114</v>
      </c>
      <c r="D30" s="5">
        <f t="shared" si="1"/>
        <v>3.4834841647295427</v>
      </c>
      <c r="E30" s="6">
        <v>0.51512842952968874</v>
      </c>
    </row>
    <row r="31" ht="14.25">
      <c r="A31" s="9" t="s">
        <v>65</v>
      </c>
      <c r="B31" s="3" t="s">
        <v>66</v>
      </c>
      <c r="C31" s="4">
        <v>14394.50557358568</v>
      </c>
      <c r="D31" s="5">
        <f t="shared" si="1"/>
        <v>10.194409046448783</v>
      </c>
      <c r="E31" s="6">
        <v>0.45541667708948119</v>
      </c>
    </row>
    <row r="32" ht="14.25">
      <c r="A32" s="9" t="s">
        <v>67</v>
      </c>
      <c r="B32" s="3" t="s">
        <v>68</v>
      </c>
      <c r="C32" s="11" t="s">
        <v>54</v>
      </c>
      <c r="D32" s="5" t="s">
        <v>54</v>
      </c>
      <c r="E32" s="6">
        <v>0.37120330005317581</v>
      </c>
    </row>
    <row r="33" ht="14.25">
      <c r="A33" s="9" t="s">
        <v>69</v>
      </c>
      <c r="B33" s="3" t="s">
        <v>70</v>
      </c>
      <c r="C33" s="4">
        <v>6933.4308609668524</v>
      </c>
      <c r="D33" s="5">
        <f t="shared" si="1"/>
        <v>4.9103617995515956</v>
      </c>
      <c r="E33" s="6">
        <v>0.49589600489330649</v>
      </c>
    </row>
    <row r="34" ht="14.25">
      <c r="A34" s="12" t="s">
        <v>71</v>
      </c>
      <c r="B34" s="8" t="s">
        <v>72</v>
      </c>
      <c r="C34" s="4">
        <v>1579.0252542456749</v>
      </c>
      <c r="D34" s="5">
        <f t="shared" si="1"/>
        <v>1.1182898401173336</v>
      </c>
      <c r="E34" s="6">
        <v>0.33195424459350842</v>
      </c>
    </row>
    <row r="35" ht="14.25">
      <c r="A35" s="9" t="s">
        <v>73</v>
      </c>
      <c r="B35" s="12" t="s">
        <v>74</v>
      </c>
      <c r="C35" s="4">
        <v>1657.278717417362</v>
      </c>
      <c r="D35" s="5">
        <f t="shared" si="1"/>
        <v>1.1737101398139957</v>
      </c>
      <c r="E35" s="6">
        <v>0.32461515294740217</v>
      </c>
    </row>
    <row r="36" ht="14.25">
      <c r="A36" s="9" t="s">
        <v>75</v>
      </c>
      <c r="B36" s="12" t="s">
        <v>76</v>
      </c>
      <c r="C36" s="4">
        <v>5918.6605763268763</v>
      </c>
      <c r="D36" s="5">
        <f t="shared" si="1"/>
        <v>4.1916859605714425</v>
      </c>
      <c r="E36" s="6">
        <v>0.46357764107118998</v>
      </c>
    </row>
    <row r="37" ht="14.25">
      <c r="A37" s="9" t="s">
        <v>77</v>
      </c>
      <c r="B37" s="12" t="s">
        <v>78</v>
      </c>
      <c r="C37" s="4">
        <v>1671.7408263301891</v>
      </c>
      <c r="D37" s="5">
        <f t="shared" si="1"/>
        <v>1.1839524265794541</v>
      </c>
      <c r="E37" s="6">
        <v>0.29589623788476538</v>
      </c>
    </row>
    <row r="38" ht="14.25">
      <c r="A38" s="9" t="s">
        <v>79</v>
      </c>
      <c r="B38" s="12" t="s">
        <v>80</v>
      </c>
      <c r="C38" s="4">
        <v>1824.3421570666201</v>
      </c>
      <c r="D38" s="5">
        <f t="shared" si="1"/>
        <v>1.2920270234182862</v>
      </c>
      <c r="E38" s="6">
        <v>0.29309039396799991</v>
      </c>
    </row>
  </sheetData>
  <mergeCells count="3">
    <mergeCell ref="A1:F1"/>
    <mergeCell ref="A2:B2"/>
    <mergeCell ref="C2:F2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ONLYOFFICE/8.3.2.19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2</cp:revision>
  <dcterms:modified xsi:type="dcterms:W3CDTF">2026-03-17T20:16:16Z</dcterms:modified>
</cp:coreProperties>
</file>